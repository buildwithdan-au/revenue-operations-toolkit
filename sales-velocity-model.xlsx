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umptions" sheetId="2" state="visible" r:id="rId4"/>
    <sheet name="Velocity Calculator" sheetId="3" state="visible" r:id="rId5"/>
    <sheet name="Lever Sensitivity" sheetId="4" state="visible" r:id="rId6"/>
    <sheet name="Quarterly Trend" sheetId="5" state="visible" r:id="rId7"/>
    <sheet name="Summary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<sst xmlns="http://schemas.openxmlformats.org/spreadsheetml/2006/main" count="103" uniqueCount="82">
  <si>
    <t xml:space="preserve">Sales Velocity Model</t>
  </si>
  <si>
    <t xml:space="preserve">How to use this workbook</t>
  </si>
  <si>
    <t xml:space="preserve">Purpose</t>
  </si>
  <si>
    <t xml:space="preserve">Calculates Sales Velocity — the rate at which qualified opportunities generate revenue — and shows which of the four underlying levers (opportunity volume, win rate, deal value, sales cycle length) has the most leverage to improve it.</t>
  </si>
  <si>
    <t xml:space="preserve">The formula</t>
  </si>
  <si>
    <t xml:space="preserve">Sales Velocity = (# Opportunities x Win Rate x Average Deal Value) / Sales Cycle Length (days). The result is $ generated per day, which is then scaled to monthly/quarterly/annual views.</t>
  </si>
  <si>
    <t xml:space="preserve">Tab: Assumptions</t>
  </si>
  <si>
    <t xml:space="preserve">Global inputs — period-length constants and the sensitivity test percentage used on the Lever Sensitivity tab. Edit the yellow cells.</t>
  </si>
  <si>
    <t xml:space="preserve">Tab: Velocity Calculator</t>
  </si>
  <si>
    <t xml:space="preserve">Core calculation, one row per segment. Blue cells are inputs (opportunity count, win rate, deal value, cycle length). Black cells are formulas — do not overwrite.</t>
  </si>
  <si>
    <t xml:space="preserve">Tab: Lever Sensitivity</t>
  </si>
  <si>
    <t xml:space="preserve">Shows the $ and % impact on Daily Velocity from moving each of the four levers independently by the test percentage set in Assumptions.</t>
  </si>
  <si>
    <t xml:space="preserve">Tab: Quarterly Trend</t>
  </si>
  <si>
    <t xml:space="preserve">Historical quarterly velocity by segment, with a trend chart.</t>
  </si>
  <si>
    <t xml:space="preserve">Tab: Summary Dashboard</t>
  </si>
  <si>
    <t xml:space="preserve">Roll-up KPIs and charts comparing segments and velocity over time.</t>
  </si>
  <si>
    <t xml:space="preserve">Color legend</t>
  </si>
  <si>
    <t xml:space="preserve">Blue text</t>
  </si>
  <si>
    <t xml:space="preserve">Hardcoded input — replace with your own numbers</t>
  </si>
  <si>
    <t xml:space="preserve">Black text</t>
  </si>
  <si>
    <t xml:space="preserve">Formula — recalculates automatically, do not hardcode over it</t>
  </si>
  <si>
    <t xml:space="preserve">Green text</t>
  </si>
  <si>
    <t xml:space="preserve">Link to another sheet in this workbook</t>
  </si>
  <si>
    <t xml:space="preserve">Yellow fill</t>
  </si>
  <si>
    <t xml:space="preserve">Key assumption or cell you should review/fill in before using the model</t>
  </si>
  <si>
    <t xml:space="preserve">Note</t>
  </si>
  <si>
    <t xml:space="preserve">Example values are placeholders based on typical $50M-$2B ARR SaaS benchmarks. Replace every blue cell with your own CRM-derived actuals (trailing period average is recommended over a single snapshot) before relying on outputs.</t>
  </si>
  <si>
    <t xml:space="preserve">Global Assumptions</t>
  </si>
  <si>
    <t xml:space="preserve">Period</t>
  </si>
  <si>
    <t xml:space="preserve">FY27</t>
  </si>
  <si>
    <t xml:space="preserve">Period-Length Constants (days)</t>
  </si>
  <si>
    <t xml:space="preserve">Days in Month</t>
  </si>
  <si>
    <t xml:space="preserve">Days in Quarter</t>
  </si>
  <si>
    <t xml:space="preserve">Days in Year</t>
  </si>
  <si>
    <t xml:space="preserve">Lever Sensitivity Test %</t>
  </si>
  <si>
    <t xml:space="preserve">The % move applied to each lever independently on the Lever Sensitivity tab</t>
  </si>
  <si>
    <t xml:space="preserve">Sensitivity Test Movement (%)</t>
  </si>
  <si>
    <t xml:space="preserve">Sales Velocity Calculator</t>
  </si>
  <si>
    <t xml:space="preserve">Sales Velocity = (# Opportunities x Win Rate x Avg Deal Value) / Sales Cycle Length</t>
  </si>
  <si>
    <t xml:space="preserve">Segment</t>
  </si>
  <si>
    <t xml:space="preserve"># Qualified
Opportunities (period)</t>
  </si>
  <si>
    <t xml:space="preserve">Win Rate
(%)</t>
  </si>
  <si>
    <t xml:space="preserve">Average Deal
Value ($)</t>
  </si>
  <si>
    <t xml:space="preserve">Sales Cycle
Length (days)</t>
  </si>
  <si>
    <t xml:space="preserve">Daily
Velocity ($)</t>
  </si>
  <si>
    <t xml:space="preserve">Monthly
Velocity ($)</t>
  </si>
  <si>
    <t xml:space="preserve">Quarterly
Velocity ($)</t>
  </si>
  <si>
    <t xml:space="preserve">Annual
Velocity ($)</t>
  </si>
  <si>
    <t xml:space="preserve">Enterprise / Strategic</t>
  </si>
  <si>
    <t xml:space="preserve">Mid-Market / Commercial</t>
  </si>
  <si>
    <t xml:space="preserve">SMB / Velocity</t>
  </si>
  <si>
    <t xml:space="preserve">Total</t>
  </si>
  <si>
    <t xml:space="preserve">Note: Daily Velocity is additive across segments (it's a $/day rate), so the Total row sums each segment's Daily Velocity directly rather than recomputing from blended inputs. Opportunity count should reflect qualified (not raw/unqualified) pipeline entering the period.</t>
  </si>
  <si>
    <t xml:space="preserve">Lever Sensitivity</t>
  </si>
  <si>
    <t xml:space="preserve">Impact on Daily Velocity from moving each lever independently by the test % (Assumptions tab), holding all other levers constant</t>
  </si>
  <si>
    <t xml:space="preserve">Lever</t>
  </si>
  <si>
    <t xml:space="preserve">Baseline Daily
Velocity ($)</t>
  </si>
  <si>
    <t xml:space="preserve">New Daily
Velocity ($)</t>
  </si>
  <si>
    <t xml:space="preserve">$ Impact</t>
  </si>
  <si>
    <t xml:space="preserve">% Impact</t>
  </si>
  <si>
    <t xml:space="preserve">Direction</t>
  </si>
  <si>
    <t xml:space="preserve">+ Opportunity Volume</t>
  </si>
  <si>
    <t xml:space="preserve">+ Win Rate</t>
  </si>
  <si>
    <t xml:space="preserve">+ Average Deal Value</t>
  </si>
  <si>
    <t xml:space="preserve">- Sales Cycle Length</t>
  </si>
  <si>
    <t xml:space="preserve">Note: because Velocity is linear in Opportunities, Win Rate, and Deal Value, an equal % move in any of those three levers produces an identical % change in Daily Velocity. Sales Cycle Length sits in the denominator, so a given % reduction in cycle length produces a slightly larger % gain in velocity than an equal % increase in the other three levers.</t>
  </si>
  <si>
    <t xml:space="preserve">Quarterly Trend</t>
  </si>
  <si>
    <t xml:space="preserve">Historical Daily Velocity ($) by segment, most recent 4 quarters</t>
  </si>
  <si>
    <t xml:space="preserve">Q1</t>
  </si>
  <si>
    <t xml:space="preserve">Q2</t>
  </si>
  <si>
    <t xml:space="preserve">Q3</t>
  </si>
  <si>
    <t xml:space="preserve">Q4</t>
  </si>
  <si>
    <t xml:space="preserve">Note: figures are Daily Velocity ($) snapshots taken at each quarter's close. Populate with trailing actuals each quarter to build a real trend line over time.</t>
  </si>
  <si>
    <t xml:space="preserve">Sales Velocity — Summary</t>
  </si>
  <si>
    <t xml:space="preserve">Period:</t>
  </si>
  <si>
    <t xml:space="preserve">Total Daily Velocity ($)</t>
  </si>
  <si>
    <t xml:space="preserve">Total Monthly Velocity ($)</t>
  </si>
  <si>
    <t xml:space="preserve">Total Quarterly Velocity ($)</t>
  </si>
  <si>
    <t xml:space="preserve">Total Annual Velocity ($)</t>
  </si>
  <si>
    <t xml:space="preserve">Daily Velocity ($)</t>
  </si>
  <si>
    <t xml:space="preserve">Monthly Velocity ($)</t>
  </si>
  <si>
    <t xml:space="preserve">Annual Velocity ($)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</si>
</sst>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;\(0.0%\);\-"/>
    <numFmt numFmtId="167" formatCode="#,##0;\(#,##0\);\-"/>
    <numFmt numFmtId="168" formatCode="\$#,##0;&quot;($&quot;#,##0\);\-"/>
    <numFmt numFmtId="169" formatCode="#,##0&quot; days&quot;"/>
    <numFmt numFmtId="170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Velocity Trend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'Quarterly Trend'!B6</c:f>
              <c:strCache>
                <c:ptCount val="1"/>
                <c:pt idx="0">
                  <c:v>Enterprise / Strategic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Trend'!$C$5:$F$5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Trend'!$C$6:$F$6</c:f>
              <c:numCache>
                <c:formatCode>\$#,##0;"($"#,##0\);\-</c:formatCode>
                <c:ptCount val="4"/>
                <c:pt idx="0">
                  <c:v>610</c:v>
                </c:pt>
                <c:pt idx="1">
                  <c:v>660</c:v>
                </c:pt>
                <c:pt idx="2">
                  <c:v>700</c:v>
                </c:pt>
                <c:pt idx="3">
                  <c:v>745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'Quarterly Trend'!B7</c:f>
              <c:strCache>
                <c:ptCount val="1"/>
                <c:pt idx="0">
                  <c:v>Mid-Market / Commercial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Trend'!$C$5:$F$5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Trend'!$C$7:$F$7</c:f>
              <c:numCache>
                <c:formatCode>\$#,##0;"($"#,##0\);\-</c:formatCode>
                <c:ptCount val="4"/>
                <c:pt idx="0">
                  <c:v>1450</c:v>
                </c:pt>
                <c:pt idx="1">
                  <c:v>1520</c:v>
                </c:pt>
                <c:pt idx="2">
                  <c:v>1580</c:v>
                </c:pt>
                <c:pt idx="3">
                  <c:v>1670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'Quarterly Trend'!B8</c:f>
              <c:strCache>
                <c:ptCount val="1"/>
                <c:pt idx="0">
                  <c:v>SMB / Velocity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'Quarterly Trend'!$C$5:$F$5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Trend'!$C$8:$F$8</c:f>
              <c:numCache>
                <c:formatCode>\$#,##0;"($"#,##0\);\-</c:formatCode>
                <c:ptCount val="4"/>
                <c:pt idx="0">
                  <c:v>2900</c:v>
                </c:pt>
                <c:pt idx="1">
                  <c:v>3050</c:v>
                </c:pt>
                <c:pt idx="2">
                  <c:v>3200</c:v>
                </c:pt>
                <c:pt idx="3">
                  <c:v>3330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637858"/>
        <c:axId val="143626"/>
      </c:lineChart>
      <c:catAx>
        <c:axId val="406378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626"/>
        <c:crosses val="autoZero"/>
        <c:auto val="1"/>
        <c:lblAlgn val="ctr"/>
        <c:lblOffset val="100"/>
        <c:noMultiLvlLbl val="0"/>
      </c:catAx>
      <c:valAx>
        <c:axId val="143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Daily Velocity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37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Velocity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Dashboard'!C11</c:f>
              <c:strCache>
                <c:ptCount val="1"/>
                <c:pt idx="0">
                  <c:v>Daily Velocity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Dashboard'!$B$12:$B$14</c:f>
              <c:strCache>
                <c:ptCount val="3"/>
                <c:pt idx="0">
                  <c:v>Enterprise / Strategic</c:v>
                </c:pt>
                <c:pt idx="1">
                  <c:v>Mid-Market / Commercial</c:v>
                </c:pt>
                <c:pt idx="2">
                  <c:v>SMB / Velocity</c:v>
                </c:pt>
              </c:strCache>
            </c:strRef>
          </c:cat>
          <c:val>
            <c:numRef>
              <c:f>'Summary Dashboard'!$C$12:$C$14</c:f>
              <c:numCache>
                <c:formatCode>\$#,##0.00;"($"#,##0.00\);\-</c:formatCode>
                <c:ptCount val="3"/>
                <c:pt idx="0">
                  <c:v>6384</c:v>
                </c:pt>
                <c:pt idx="1">
                  <c:v>17834.6666666667</c:v>
                </c:pt>
                <c:pt idx="2">
                  <c:v>41600</c:v>
                </c:pt>
              </c:numCache>
            </c:numRef>
          </c:val>
        </c:ser>
        <c:gapWidth val="150"/>
        <c:overlap val="0"/>
        <c:axId val="3357467"/>
        <c:axId val="63773038"/>
      </c:barChart>
      <c:catAx>
        <c:axId val="3357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73038"/>
        <c:crosses val="autoZero"/>
        <c:auto val="1"/>
        <c:lblAlgn val="ctr"/>
        <c:lblOffset val="100"/>
        <c:noMultiLvlLbl val="0"/>
      </c:catAx>
      <c:valAx>
        <c:axId val="63773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Daily Velocity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7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160560</xdr:rowOff>
    </xdr:from>
    <xdr:to>
      <xdr:col>6</xdr:col>
      <xdr:colOff>417960</xdr:colOff>
      <xdr:row>29</xdr:row>
      <xdr:rowOff>161640</xdr:rowOff>
    </xdr:to>
    <xdr:graphicFrame>
      <xdr:nvGraphicFramePr>
        <xdr:cNvPr id="0" name="Chart 1"/>
        <xdr:cNvGraphicFramePr/>
      </xdr:nvGraphicFramePr>
      <xdr:xfrm>
        <a:off x="281880" y="2724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10440</xdr:rowOff>
    </xdr:from>
    <xdr:to>
      <xdr:col>4</xdr:col>
      <xdr:colOff>825480</xdr:colOff>
      <xdr:row>32</xdr:row>
      <xdr:rowOff>11520</xdr:rowOff>
    </xdr:to>
    <xdr:graphicFrame>
      <xdr:nvGraphicFramePr>
        <xdr:cNvPr id="1" name="Chart 1"/>
        <xdr:cNvGraphicFramePr/>
      </xdr:nvGraphicFramePr>
      <xdr:xfrm>
        <a:off x="281880" y="3048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7.5" hidden="false" customHeight="true" outlineLevel="0" collapsed="false">
      <c r="B5" s="3"/>
      <c r="C5" s="4"/>
    </row>
    <row r="6" customFormat="false" ht="31.5" hidden="false" customHeight="true" outlineLevel="0" collapsed="false">
      <c r="B6" s="3" t="s">
        <v>2</v>
      </c>
      <c r="C6" s="4" t="s">
        <v>3</v>
      </c>
    </row>
    <row r="7" customFormat="false" ht="31.5" hidden="false" customHeight="true" outlineLevel="0" collapsed="false">
      <c r="B7" s="3" t="s">
        <v>4</v>
      </c>
      <c r="C7" s="4" t="s">
        <v>5</v>
      </c>
    </row>
    <row r="8" customFormat="false" ht="31.5" hidden="false" customHeight="true" outlineLevel="0" collapsed="false">
      <c r="B8" s="3" t="s">
        <v>6</v>
      </c>
      <c r="C8" s="4" t="s">
        <v>7</v>
      </c>
    </row>
    <row r="9" customFormat="false" ht="31.5" hidden="false" customHeight="true" outlineLevel="0" collapsed="false">
      <c r="B9" s="3" t="s">
        <v>8</v>
      </c>
      <c r="C9" s="4" t="s">
        <v>9</v>
      </c>
    </row>
    <row r="10" customFormat="false" ht="31.5" hidden="false" customHeight="true" outlineLevel="0" collapsed="false">
      <c r="B10" s="3" t="s">
        <v>10</v>
      </c>
      <c r="C10" s="4" t="s">
        <v>11</v>
      </c>
    </row>
    <row r="11" customFormat="false" ht="31.5" hidden="false" customHeight="true" outlineLevel="0" collapsed="false">
      <c r="B11" s="3" t="s">
        <v>12</v>
      </c>
      <c r="C11" s="4" t="s">
        <v>13</v>
      </c>
    </row>
    <row r="12" customFormat="false" ht="31.5" hidden="false" customHeight="true" outlineLevel="0" collapsed="false">
      <c r="B12" s="3" t="s">
        <v>14</v>
      </c>
      <c r="C12" s="4" t="s">
        <v>15</v>
      </c>
    </row>
    <row r="14" customFormat="false" ht="15" hidden="false" customHeight="false" outlineLevel="0" collapsed="false">
      <c r="B14" s="2" t="s">
        <v>16</v>
      </c>
    </row>
    <row r="15" customFormat="false" ht="15" hidden="false" customHeight="false" outlineLevel="0" collapsed="false">
      <c r="B15" s="5" t="s">
        <v>17</v>
      </c>
      <c r="C15" s="6" t="s">
        <v>18</v>
      </c>
    </row>
    <row r="16" customFormat="false" ht="15" hidden="false" customHeight="false" outlineLevel="0" collapsed="false">
      <c r="B16" s="6" t="s">
        <v>19</v>
      </c>
      <c r="C16" s="6" t="s">
        <v>20</v>
      </c>
    </row>
    <row r="17" customFormat="false" ht="15" hidden="false" customHeight="false" outlineLevel="0" collapsed="false">
      <c r="B17" s="7" t="s">
        <v>21</v>
      </c>
      <c r="C17" s="6" t="s">
        <v>22</v>
      </c>
    </row>
    <row r="18" customFormat="false" ht="15" hidden="false" customHeight="false" outlineLevel="0" collapsed="false">
      <c r="B18" s="8" t="s">
        <v>23</v>
      </c>
      <c r="C18" s="6" t="s">
        <v>24</v>
      </c>
    </row>
    <row r="20" customFormat="false" ht="39.75" hidden="false" customHeight="true" outlineLevel="0" collapsed="false">
      <c r="B20" s="3" t="s">
        <v>25</v>
      </c>
      <c r="C20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6"/>
  </cols>
  <sheetData>
    <row r="2" customFormat="false" ht="17.35" hidden="false" customHeight="false" outlineLevel="0" collapsed="false">
      <c r="B2" s="1" t="s">
        <v>27</v>
      </c>
    </row>
    <row r="4" customFormat="false" ht="15" hidden="false" customHeight="false" outlineLevel="0" collapsed="false">
      <c r="B4" s="3" t="s">
        <v>28</v>
      </c>
      <c r="C4" s="10" t="s">
        <v>29</v>
      </c>
    </row>
    <row r="6" customFormat="false" ht="15" hidden="false" customHeight="false" outlineLevel="0" collapsed="false">
      <c r="B6" s="2" t="s">
        <v>30</v>
      </c>
    </row>
    <row r="7" customFormat="false" ht="15" hidden="false" customHeight="false" outlineLevel="0" collapsed="false">
      <c r="B7" s="11" t="s">
        <v>31</v>
      </c>
      <c r="C7" s="12" t="n">
        <v>30</v>
      </c>
    </row>
    <row r="8" customFormat="false" ht="15" hidden="false" customHeight="false" outlineLevel="0" collapsed="false">
      <c r="B8" s="11" t="s">
        <v>32</v>
      </c>
      <c r="C8" s="12" t="n">
        <v>90</v>
      </c>
    </row>
    <row r="9" customFormat="false" ht="15" hidden="false" customHeight="false" outlineLevel="0" collapsed="false">
      <c r="B9" s="11" t="s">
        <v>33</v>
      </c>
      <c r="C9" s="12" t="n">
        <v>365</v>
      </c>
    </row>
    <row r="11" customFormat="false" ht="15" hidden="false" customHeight="false" outlineLevel="0" collapsed="false">
      <c r="B11" s="2" t="s">
        <v>34</v>
      </c>
    </row>
    <row r="12" customFormat="false" ht="15" hidden="false" customHeight="false" outlineLevel="0" collapsed="false">
      <c r="B12" s="13" t="s">
        <v>35</v>
      </c>
    </row>
    <row r="13" customFormat="false" ht="15" hidden="false" customHeight="false" outlineLevel="0" collapsed="false">
      <c r="B13" s="11" t="s">
        <v>36</v>
      </c>
      <c r="C13" s="1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10" min="5" style="0" width="18"/>
  </cols>
  <sheetData>
    <row r="2" customFormat="false" ht="17.35" hidden="false" customHeight="false" outlineLevel="0" collapsed="false">
      <c r="B2" s="1" t="s">
        <v>37</v>
      </c>
    </row>
    <row r="3" customFormat="false" ht="15" hidden="false" customHeight="false" outlineLevel="0" collapsed="false">
      <c r="B3" s="2" t="s">
        <v>38</v>
      </c>
    </row>
    <row r="5" customFormat="false" ht="42" hidden="false" customHeight="true" outlineLevel="0" collapsed="false"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15" t="s">
        <v>45</v>
      </c>
      <c r="I5" s="15" t="s">
        <v>46</v>
      </c>
      <c r="J5" s="15" t="s">
        <v>47</v>
      </c>
    </row>
    <row r="6" customFormat="false" ht="15" hidden="false" customHeight="false" outlineLevel="0" collapsed="false">
      <c r="B6" s="16" t="s">
        <v>48</v>
      </c>
      <c r="C6" s="17" t="n">
        <v>42</v>
      </c>
      <c r="D6" s="14" t="n">
        <v>0.24</v>
      </c>
      <c r="E6" s="18" t="n">
        <v>95000</v>
      </c>
      <c r="F6" s="19" t="n">
        <v>150</v>
      </c>
      <c r="G6" s="20" t="n">
        <f aca="false">(C6*D6*E6)/F6</f>
        <v>6384</v>
      </c>
      <c r="H6" s="21" t="n">
        <f aca="false">G6*Assumptions!$C$7</f>
        <v>191520</v>
      </c>
      <c r="I6" s="21" t="n">
        <f aca="false">G6*Assumptions!$C$8</f>
        <v>574560</v>
      </c>
      <c r="J6" s="21" t="n">
        <f aca="false">G6*Assumptions!$C$9</f>
        <v>2330160</v>
      </c>
    </row>
    <row r="7" customFormat="false" ht="15" hidden="false" customHeight="false" outlineLevel="0" collapsed="false">
      <c r="B7" s="16" t="s">
        <v>49</v>
      </c>
      <c r="C7" s="17" t="n">
        <v>110</v>
      </c>
      <c r="D7" s="14" t="n">
        <v>0.32</v>
      </c>
      <c r="E7" s="18" t="n">
        <v>38000</v>
      </c>
      <c r="F7" s="19" t="n">
        <v>75</v>
      </c>
      <c r="G7" s="20" t="n">
        <f aca="false">(C7*D7*E7)/F7</f>
        <v>17834.6666666667</v>
      </c>
      <c r="H7" s="21" t="n">
        <f aca="false">G7*Assumptions!$C$7</f>
        <v>535040</v>
      </c>
      <c r="I7" s="21" t="n">
        <f aca="false">G7*Assumptions!$C$8</f>
        <v>1605120</v>
      </c>
      <c r="J7" s="21" t="n">
        <f aca="false">G7*Assumptions!$C$9</f>
        <v>6509653.33333333</v>
      </c>
    </row>
    <row r="8" customFormat="false" ht="15" hidden="false" customHeight="false" outlineLevel="0" collapsed="false">
      <c r="B8" s="16" t="s">
        <v>50</v>
      </c>
      <c r="C8" s="17" t="n">
        <v>260</v>
      </c>
      <c r="D8" s="14" t="n">
        <v>0.4</v>
      </c>
      <c r="E8" s="18" t="n">
        <v>12000</v>
      </c>
      <c r="F8" s="19" t="n">
        <v>30</v>
      </c>
      <c r="G8" s="20" t="n">
        <f aca="false">(C8*D8*E8)/F8</f>
        <v>41600</v>
      </c>
      <c r="H8" s="21" t="n">
        <f aca="false">G8*Assumptions!$C$7</f>
        <v>1248000</v>
      </c>
      <c r="I8" s="21" t="n">
        <f aca="false">G8*Assumptions!$C$8</f>
        <v>3744000</v>
      </c>
      <c r="J8" s="21" t="n">
        <f aca="false">G8*Assumptions!$C$9</f>
        <v>15184000</v>
      </c>
    </row>
    <row r="9" customFormat="false" ht="15" hidden="false" customHeight="false" outlineLevel="0" collapsed="false">
      <c r="B9" s="22" t="s">
        <v>51</v>
      </c>
      <c r="C9" s="23"/>
      <c r="D9" s="23"/>
      <c r="E9" s="23"/>
      <c r="F9" s="23"/>
      <c r="G9" s="24" t="n">
        <f aca="false">SUM(G6:G8)</f>
        <v>65818.6666666667</v>
      </c>
      <c r="H9" s="25" t="n">
        <f aca="false">SUM(H6:H8)</f>
        <v>1974560</v>
      </c>
      <c r="I9" s="25" t="n">
        <f aca="false">SUM(I6:I8)</f>
        <v>5923680</v>
      </c>
      <c r="J9" s="25" t="n">
        <f aca="false">SUM(J6:J8)</f>
        <v>24023813.3333333</v>
      </c>
    </row>
    <row r="11" customFormat="false" ht="30" hidden="false" customHeight="true" outlineLevel="0" collapsed="false">
      <c r="B11" s="26" t="s">
        <v>52</v>
      </c>
      <c r="C11" s="26"/>
      <c r="D11" s="26"/>
      <c r="E11" s="26"/>
      <c r="F11" s="26"/>
      <c r="G11" s="26"/>
      <c r="H11" s="26"/>
      <c r="I11" s="26"/>
      <c r="J11" s="26"/>
    </row>
  </sheetData>
  <mergeCells count="1">
    <mergeCell ref="B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7.35" hidden="false" customHeight="false" outlineLevel="0" collapsed="false">
      <c r="B2" s="1" t="s">
        <v>53</v>
      </c>
    </row>
    <row r="3" customFormat="false" ht="27.75" hidden="false" customHeight="true" outlineLevel="0" collapsed="false">
      <c r="B3" s="27" t="s">
        <v>54</v>
      </c>
      <c r="C3" s="27"/>
      <c r="D3" s="27"/>
      <c r="E3" s="27"/>
      <c r="F3" s="27"/>
      <c r="G3" s="27"/>
      <c r="H3" s="27"/>
    </row>
    <row r="5" customFormat="false" ht="33.75" hidden="false" customHeight="true" outlineLevel="0" collapsed="false">
      <c r="B5" s="15" t="s">
        <v>39</v>
      </c>
      <c r="C5" s="15" t="s">
        <v>55</v>
      </c>
      <c r="D5" s="15" t="s">
        <v>56</v>
      </c>
      <c r="E5" s="15" t="s">
        <v>57</v>
      </c>
      <c r="F5" s="15" t="s">
        <v>58</v>
      </c>
      <c r="G5" s="15" t="s">
        <v>59</v>
      </c>
      <c r="H5" s="15" t="s">
        <v>60</v>
      </c>
    </row>
    <row r="6" customFormat="false" ht="15" hidden="false" customHeight="false" outlineLevel="0" collapsed="false">
      <c r="B6" s="16" t="s">
        <v>48</v>
      </c>
      <c r="C6" s="11" t="s">
        <v>61</v>
      </c>
      <c r="D6" s="28" t="n">
        <f aca="false">'Velocity Calculator'!G6</f>
        <v>6384</v>
      </c>
      <c r="E6" s="20" t="n">
        <f aca="false">('Velocity Calculator'!C6*(1+Assumptions!$C$13))*'Velocity Calculator'!D6*'Velocity Calculator'!E6/'Velocity Calculator'!F6</f>
        <v>7022.4</v>
      </c>
      <c r="F6" s="20" t="n">
        <f aca="false">E6-D6</f>
        <v>638.4</v>
      </c>
      <c r="G6" s="29" t="n">
        <f aca="false">F6/D6</f>
        <v>0.0999999999999999</v>
      </c>
      <c r="H6" s="30" t="str">
        <f aca="false">IF(F6&gt;=0,"Positive","Negative")</f>
        <v>Positive</v>
      </c>
    </row>
    <row r="7" customFormat="false" ht="15" hidden="false" customHeight="false" outlineLevel="0" collapsed="false">
      <c r="B7" s="31"/>
      <c r="C7" s="11" t="s">
        <v>62</v>
      </c>
      <c r="D7" s="28" t="n">
        <f aca="false">'Velocity Calculator'!G6</f>
        <v>6384</v>
      </c>
      <c r="E7" s="20" t="n">
        <f aca="false">'Velocity Calculator'!C6*('Velocity Calculator'!D6*(1+Assumptions!$C$13))*'Velocity Calculator'!E6/'Velocity Calculator'!F6</f>
        <v>7022.4</v>
      </c>
      <c r="F7" s="20" t="n">
        <f aca="false">E7-D7</f>
        <v>638.4</v>
      </c>
      <c r="G7" s="29" t="n">
        <f aca="false">F7/D7</f>
        <v>0.0999999999999999</v>
      </c>
      <c r="H7" s="30" t="str">
        <f aca="false">IF(F7&gt;=0,"Positive","Negative")</f>
        <v>Positive</v>
      </c>
    </row>
    <row r="8" customFormat="false" ht="15" hidden="false" customHeight="false" outlineLevel="0" collapsed="false">
      <c r="B8" s="31"/>
      <c r="C8" s="11" t="s">
        <v>63</v>
      </c>
      <c r="D8" s="28" t="n">
        <f aca="false">'Velocity Calculator'!G6</f>
        <v>6384</v>
      </c>
      <c r="E8" s="20" t="n">
        <f aca="false">'Velocity Calculator'!C6*'Velocity Calculator'!D6*('Velocity Calculator'!E6*(1+Assumptions!$C$13))/'Velocity Calculator'!F6</f>
        <v>7022.4</v>
      </c>
      <c r="F8" s="20" t="n">
        <f aca="false">E8-D8</f>
        <v>638.400000000002</v>
      </c>
      <c r="G8" s="29" t="n">
        <f aca="false">F8/D8</f>
        <v>0.1</v>
      </c>
      <c r="H8" s="30" t="str">
        <f aca="false">IF(F8&gt;=0,"Positive","Negative")</f>
        <v>Positive</v>
      </c>
    </row>
    <row r="9" customFormat="false" ht="15" hidden="false" customHeight="false" outlineLevel="0" collapsed="false">
      <c r="B9" s="31"/>
      <c r="C9" s="11" t="s">
        <v>64</v>
      </c>
      <c r="D9" s="28" t="n">
        <f aca="false">'Velocity Calculator'!G6</f>
        <v>6384</v>
      </c>
      <c r="E9" s="20" t="n">
        <f aca="false">'Velocity Calculator'!C6*'Velocity Calculator'!D6*'Velocity Calculator'!E6/('Velocity Calculator'!F6*(1-Assumptions!$C$13))</f>
        <v>7093.33333333333</v>
      </c>
      <c r="F9" s="20" t="n">
        <f aca="false">E9-D9</f>
        <v>709.333333333333</v>
      </c>
      <c r="G9" s="29" t="n">
        <f aca="false">F9/D9</f>
        <v>0.111111111111111</v>
      </c>
      <c r="H9" s="30" t="str">
        <f aca="false">IF(F9&gt;=0,"Positive","Negative")</f>
        <v>Positive</v>
      </c>
    </row>
    <row r="11" customFormat="false" ht="15" hidden="false" customHeight="false" outlineLevel="0" collapsed="false">
      <c r="B11" s="16" t="s">
        <v>49</v>
      </c>
      <c r="C11" s="11" t="s">
        <v>61</v>
      </c>
      <c r="D11" s="28" t="n">
        <f aca="false">'Velocity Calculator'!G7</f>
        <v>17834.6666666667</v>
      </c>
      <c r="E11" s="20" t="n">
        <f aca="false">('Velocity Calculator'!C7*(1+Assumptions!$C$13))*'Velocity Calculator'!D7*'Velocity Calculator'!E7/'Velocity Calculator'!F7</f>
        <v>19618.1333333333</v>
      </c>
      <c r="F11" s="20" t="n">
        <f aca="false">E11-D11</f>
        <v>1783.46666666667</v>
      </c>
      <c r="G11" s="29" t="n">
        <f aca="false">F11/D11</f>
        <v>0.1</v>
      </c>
      <c r="H11" s="30" t="str">
        <f aca="false">IF(F11&gt;=0,"Positive","Negative")</f>
        <v>Positive</v>
      </c>
    </row>
    <row r="12" customFormat="false" ht="15" hidden="false" customHeight="false" outlineLevel="0" collapsed="false">
      <c r="B12" s="31"/>
      <c r="C12" s="11" t="s">
        <v>62</v>
      </c>
      <c r="D12" s="28" t="n">
        <f aca="false">'Velocity Calculator'!G7</f>
        <v>17834.6666666667</v>
      </c>
      <c r="E12" s="20" t="n">
        <f aca="false">'Velocity Calculator'!C7*('Velocity Calculator'!D7*(1+Assumptions!$C$13))*'Velocity Calculator'!E7/'Velocity Calculator'!F7</f>
        <v>19618.1333333333</v>
      </c>
      <c r="F12" s="20" t="n">
        <f aca="false">E12-D12</f>
        <v>1783.46666666667</v>
      </c>
      <c r="G12" s="29" t="n">
        <f aca="false">F12/D12</f>
        <v>0.1</v>
      </c>
      <c r="H12" s="30" t="str">
        <f aca="false">IF(F12&gt;=0,"Positive","Negative")</f>
        <v>Positive</v>
      </c>
    </row>
    <row r="13" customFormat="false" ht="15" hidden="false" customHeight="false" outlineLevel="0" collapsed="false">
      <c r="B13" s="31"/>
      <c r="C13" s="11" t="s">
        <v>63</v>
      </c>
      <c r="D13" s="28" t="n">
        <f aca="false">'Velocity Calculator'!G7</f>
        <v>17834.6666666667</v>
      </c>
      <c r="E13" s="20" t="n">
        <f aca="false">'Velocity Calculator'!C7*'Velocity Calculator'!D7*('Velocity Calculator'!E7*(1+Assumptions!$C$13))/'Velocity Calculator'!F7</f>
        <v>19618.1333333333</v>
      </c>
      <c r="F13" s="20" t="n">
        <f aca="false">E13-D13</f>
        <v>1783.46666666667</v>
      </c>
      <c r="G13" s="29" t="n">
        <f aca="false">F13/D13</f>
        <v>0.1</v>
      </c>
      <c r="H13" s="30" t="str">
        <f aca="false">IF(F13&gt;=0,"Positive","Negative")</f>
        <v>Positive</v>
      </c>
    </row>
    <row r="14" customFormat="false" ht="15" hidden="false" customHeight="false" outlineLevel="0" collapsed="false">
      <c r="B14" s="31"/>
      <c r="C14" s="11" t="s">
        <v>64</v>
      </c>
      <c r="D14" s="28" t="n">
        <f aca="false">'Velocity Calculator'!G7</f>
        <v>17834.6666666667</v>
      </c>
      <c r="E14" s="20" t="n">
        <f aca="false">'Velocity Calculator'!C7*'Velocity Calculator'!D7*'Velocity Calculator'!E7/('Velocity Calculator'!F7*(1-Assumptions!$C$13))</f>
        <v>19816.2962962963</v>
      </c>
      <c r="F14" s="20" t="n">
        <f aca="false">E14-D14</f>
        <v>1981.62962962963</v>
      </c>
      <c r="G14" s="29" t="n">
        <f aca="false">F14/D14</f>
        <v>0.111111111111111</v>
      </c>
      <c r="H14" s="30" t="str">
        <f aca="false">IF(F14&gt;=0,"Positive","Negative")</f>
        <v>Positive</v>
      </c>
    </row>
    <row r="16" customFormat="false" ht="15" hidden="false" customHeight="false" outlineLevel="0" collapsed="false">
      <c r="B16" s="16" t="s">
        <v>50</v>
      </c>
      <c r="C16" s="11" t="s">
        <v>61</v>
      </c>
      <c r="D16" s="28" t="n">
        <f aca="false">'Velocity Calculator'!G8</f>
        <v>41600</v>
      </c>
      <c r="E16" s="20" t="n">
        <f aca="false">('Velocity Calculator'!C8*(1+Assumptions!$C$13))*'Velocity Calculator'!D8*'Velocity Calculator'!E8/'Velocity Calculator'!F8</f>
        <v>45760</v>
      </c>
      <c r="F16" s="20" t="n">
        <f aca="false">E16-D16</f>
        <v>4160</v>
      </c>
      <c r="G16" s="29" t="n">
        <f aca="false">F16/D16</f>
        <v>0.1</v>
      </c>
      <c r="H16" s="30" t="str">
        <f aca="false">IF(F16&gt;=0,"Positive","Negative")</f>
        <v>Positive</v>
      </c>
    </row>
    <row r="17" customFormat="false" ht="15" hidden="false" customHeight="false" outlineLevel="0" collapsed="false">
      <c r="B17" s="31"/>
      <c r="C17" s="11" t="s">
        <v>62</v>
      </c>
      <c r="D17" s="28" t="n">
        <f aca="false">'Velocity Calculator'!G8</f>
        <v>41600</v>
      </c>
      <c r="E17" s="20" t="n">
        <f aca="false">'Velocity Calculator'!C8*('Velocity Calculator'!D8*(1+Assumptions!$C$13))*'Velocity Calculator'!E8/'Velocity Calculator'!F8</f>
        <v>45760</v>
      </c>
      <c r="F17" s="20" t="n">
        <f aca="false">E17-D17</f>
        <v>4160.00000000001</v>
      </c>
      <c r="G17" s="29" t="n">
        <f aca="false">F17/D17</f>
        <v>0.1</v>
      </c>
      <c r="H17" s="30" t="str">
        <f aca="false">IF(F17&gt;=0,"Positive","Negative")</f>
        <v>Positive</v>
      </c>
    </row>
    <row r="18" customFormat="false" ht="15" hidden="false" customHeight="false" outlineLevel="0" collapsed="false">
      <c r="B18" s="31"/>
      <c r="C18" s="11" t="s">
        <v>63</v>
      </c>
      <c r="D18" s="28" t="n">
        <f aca="false">'Velocity Calculator'!G8</f>
        <v>41600</v>
      </c>
      <c r="E18" s="20" t="n">
        <f aca="false">'Velocity Calculator'!C8*'Velocity Calculator'!D8*('Velocity Calculator'!E8*(1+Assumptions!$C$13))/'Velocity Calculator'!F8</f>
        <v>45760</v>
      </c>
      <c r="F18" s="20" t="n">
        <f aca="false">E18-D18</f>
        <v>4160.00000000001</v>
      </c>
      <c r="G18" s="29" t="n">
        <f aca="false">F18/D18</f>
        <v>0.1</v>
      </c>
      <c r="H18" s="30" t="str">
        <f aca="false">IF(F18&gt;=0,"Positive","Negative")</f>
        <v>Positive</v>
      </c>
    </row>
    <row r="19" customFormat="false" ht="15" hidden="false" customHeight="false" outlineLevel="0" collapsed="false">
      <c r="B19" s="31"/>
      <c r="C19" s="11" t="s">
        <v>64</v>
      </c>
      <c r="D19" s="28" t="n">
        <f aca="false">'Velocity Calculator'!G8</f>
        <v>41600</v>
      </c>
      <c r="E19" s="20" t="n">
        <f aca="false">'Velocity Calculator'!C8*'Velocity Calculator'!D8*'Velocity Calculator'!E8/('Velocity Calculator'!F8*(1-Assumptions!$C$13))</f>
        <v>46222.2222222222</v>
      </c>
      <c r="F19" s="20" t="n">
        <f aca="false">E19-D19</f>
        <v>4622.22222222222</v>
      </c>
      <c r="G19" s="29" t="n">
        <f aca="false">F19/D19</f>
        <v>0.111111111111111</v>
      </c>
      <c r="H19" s="30" t="str">
        <f aca="false">IF(F19&gt;=0,"Positive","Negative")</f>
        <v>Positive</v>
      </c>
    </row>
    <row r="22" customFormat="false" ht="39.75" hidden="false" customHeight="true" outlineLevel="0" collapsed="false">
      <c r="B22" s="26" t="s">
        <v>65</v>
      </c>
      <c r="C22" s="26"/>
      <c r="D22" s="26"/>
      <c r="E22" s="26"/>
      <c r="F22" s="26"/>
      <c r="G22" s="26"/>
      <c r="H22" s="26"/>
    </row>
  </sheetData>
  <mergeCells count="2">
    <mergeCell ref="B3:H3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66</v>
      </c>
    </row>
    <row r="3" customFormat="false" ht="15" hidden="false" customHeight="false" outlineLevel="0" collapsed="false">
      <c r="B3" s="2" t="s">
        <v>67</v>
      </c>
    </row>
    <row r="5" customFormat="false" ht="21.75" hidden="false" customHeight="true" outlineLevel="0" collapsed="false">
      <c r="B5" s="15" t="s">
        <v>39</v>
      </c>
      <c r="C5" s="15" t="s">
        <v>68</v>
      </c>
      <c r="D5" s="15" t="s">
        <v>69</v>
      </c>
      <c r="E5" s="15" t="s">
        <v>70</v>
      </c>
      <c r="F5" s="15" t="s">
        <v>71</v>
      </c>
    </row>
    <row r="6" customFormat="false" ht="15" hidden="false" customHeight="false" outlineLevel="0" collapsed="false">
      <c r="B6" s="16" t="s">
        <v>48</v>
      </c>
      <c r="C6" s="18" t="n">
        <v>610</v>
      </c>
      <c r="D6" s="18" t="n">
        <v>660</v>
      </c>
      <c r="E6" s="18" t="n">
        <v>700</v>
      </c>
      <c r="F6" s="18" t="n">
        <v>745</v>
      </c>
    </row>
    <row r="7" customFormat="false" ht="15" hidden="false" customHeight="false" outlineLevel="0" collapsed="false">
      <c r="B7" s="16" t="s">
        <v>49</v>
      </c>
      <c r="C7" s="18" t="n">
        <v>1450</v>
      </c>
      <c r="D7" s="18" t="n">
        <v>1520</v>
      </c>
      <c r="E7" s="18" t="n">
        <v>1580</v>
      </c>
      <c r="F7" s="18" t="n">
        <v>1670</v>
      </c>
    </row>
    <row r="8" customFormat="false" ht="15" hidden="false" customHeight="false" outlineLevel="0" collapsed="false">
      <c r="B8" s="16" t="s">
        <v>50</v>
      </c>
      <c r="C8" s="18" t="n">
        <v>2900</v>
      </c>
      <c r="D8" s="18" t="n">
        <v>3050</v>
      </c>
      <c r="E8" s="18" t="n">
        <v>3200</v>
      </c>
      <c r="F8" s="18" t="n">
        <v>3330</v>
      </c>
    </row>
    <row r="9" customFormat="false" ht="15" hidden="false" customHeight="false" outlineLevel="0" collapsed="false">
      <c r="B9" s="22" t="s">
        <v>51</v>
      </c>
      <c r="C9" s="25" t="n">
        <f aca="false">SUM(C6:C8)</f>
        <v>4960</v>
      </c>
      <c r="D9" s="25" t="n">
        <f aca="false">SUM(D6:D8)</f>
        <v>5230</v>
      </c>
      <c r="E9" s="25" t="n">
        <f aca="false">SUM(E6:E8)</f>
        <v>5480</v>
      </c>
      <c r="F9" s="25" t="n">
        <f aca="false">SUM(F6:F8)</f>
        <v>5745</v>
      </c>
    </row>
    <row r="11" customFormat="false" ht="27.75" hidden="false" customHeight="true" outlineLevel="0" collapsed="false">
      <c r="B11" s="26" t="s">
        <v>72</v>
      </c>
      <c r="C11" s="26"/>
      <c r="D11" s="26"/>
      <c r="E11" s="26"/>
      <c r="F11" s="26"/>
    </row>
  </sheetData>
  <mergeCells count="1"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20"/>
  </cols>
  <sheetData>
    <row r="2" customFormat="false" ht="17.35" hidden="false" customHeight="false" outlineLevel="0" collapsed="false">
      <c r="B2" s="1" t="s">
        <v>73</v>
      </c>
    </row>
    <row r="3" customFormat="false" ht="15" hidden="false" customHeight="false" outlineLevel="0" collapsed="false">
      <c r="B3" s="3" t="s">
        <v>74</v>
      </c>
      <c r="C3" s="7" t="str">
        <f aca="false">Assumptions!C4</f>
        <v>FY27</v>
      </c>
    </row>
    <row r="5" customFormat="false" ht="15" hidden="false" customHeight="false" outlineLevel="0" collapsed="false">
      <c r="B5" s="16" t="s">
        <v>75</v>
      </c>
      <c r="C5" s="28" t="n">
        <f aca="false">'Velocity Calculator'!G9</f>
        <v>65818.6666666667</v>
      </c>
    </row>
    <row r="6" customFormat="false" ht="15" hidden="false" customHeight="false" outlineLevel="0" collapsed="false">
      <c r="B6" s="16" t="s">
        <v>76</v>
      </c>
      <c r="C6" s="32" t="n">
        <f aca="false">'Velocity Calculator'!H9</f>
        <v>1974560</v>
      </c>
    </row>
    <row r="7" customFormat="false" ht="15" hidden="false" customHeight="false" outlineLevel="0" collapsed="false">
      <c r="B7" s="16" t="s">
        <v>77</v>
      </c>
      <c r="C7" s="32" t="n">
        <f aca="false">'Velocity Calculator'!I9</f>
        <v>5923680</v>
      </c>
    </row>
    <row r="8" customFormat="false" ht="15" hidden="false" customHeight="false" outlineLevel="0" collapsed="false">
      <c r="B8" s="16" t="s">
        <v>78</v>
      </c>
      <c r="C8" s="32" t="n">
        <f aca="false">'Velocity Calculator'!J9</f>
        <v>24023813.3333333</v>
      </c>
    </row>
    <row r="11" customFormat="false" ht="26.85" hidden="false" customHeight="false" outlineLevel="0" collapsed="false">
      <c r="B11" s="15" t="s">
        <v>39</v>
      </c>
      <c r="C11" s="15" t="s">
        <v>79</v>
      </c>
      <c r="D11" s="15" t="s">
        <v>80</v>
      </c>
      <c r="E11" s="15" t="s">
        <v>81</v>
      </c>
    </row>
    <row r="12" customFormat="false" ht="15" hidden="false" customHeight="false" outlineLevel="0" collapsed="false">
      <c r="B12" s="16" t="s">
        <v>48</v>
      </c>
      <c r="C12" s="28" t="n">
        <f aca="false">'Velocity Calculator'!G6</f>
        <v>6384</v>
      </c>
      <c r="D12" s="32" t="n">
        <f aca="false">'Velocity Calculator'!H6</f>
        <v>191520</v>
      </c>
      <c r="E12" s="32" t="n">
        <f aca="false">'Velocity Calculator'!J6</f>
        <v>2330160</v>
      </c>
    </row>
    <row r="13" customFormat="false" ht="15" hidden="false" customHeight="false" outlineLevel="0" collapsed="false">
      <c r="B13" s="16" t="s">
        <v>49</v>
      </c>
      <c r="C13" s="28" t="n">
        <f aca="false">'Velocity Calculator'!G7</f>
        <v>17834.6666666667</v>
      </c>
      <c r="D13" s="32" t="n">
        <f aca="false">'Velocity Calculator'!H7</f>
        <v>535040</v>
      </c>
      <c r="E13" s="32" t="n">
        <f aca="false">'Velocity Calculator'!J7</f>
        <v>6509653.33333333</v>
      </c>
    </row>
    <row r="14" customFormat="false" ht="15" hidden="false" customHeight="false" outlineLevel="0" collapsed="false">
      <c r="B14" s="16" t="s">
        <v>50</v>
      </c>
      <c r="C14" s="28" t="n">
        <f aca="false">'Velocity Calculator'!G8</f>
        <v>41600</v>
      </c>
      <c r="D14" s="32" t="n">
        <f aca="false">'Velocity Calculator'!H8</f>
        <v>1248000</v>
      </c>
      <c r="E14" s="32" t="n">
        <f aca="false">'Velocity Calculator'!J8</f>
        <v>15184000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2026-07-27T07:08:41Z</dcterms:created>
  <dc:creator>openpyxl</dc:creator>
  <dc:description/>
  <dc:language>en-US</dc:language>
  <cp:lastModifiedBy/>
  <dcterms:modified xsi:type="dcterms:W3CDTF">2026-07-27T07:08:48Z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